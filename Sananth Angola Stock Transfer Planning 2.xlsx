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iva/Downloads/"/>
    </mc:Choice>
  </mc:AlternateContent>
  <xr:revisionPtr revIDLastSave="0" documentId="13_ncr:1_{FB8190E6-6A90-7347-B32D-2FA3EFD27885}" xr6:coauthVersionLast="47" xr6:coauthVersionMax="47" xr10:uidLastSave="{00000000-0000-0000-0000-000000000000}"/>
  <bookViews>
    <workbookView xWindow="0" yWindow="760" windowWidth="29400" windowHeight="17280" xr2:uid="{3075A401-0556-9844-ADAD-99478CAF47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/>
  <c r="H4" i="1"/>
  <c r="J5" i="1"/>
  <c r="R24" i="1"/>
  <c r="U24" i="1" s="1"/>
  <c r="J9" i="1"/>
  <c r="K9" i="1" s="1"/>
  <c r="Y12" i="1"/>
  <c r="Y11" i="1"/>
  <c r="Y10" i="1"/>
  <c r="Y9" i="1"/>
  <c r="Y8" i="1"/>
  <c r="Y7" i="1"/>
  <c r="Y6" i="1"/>
  <c r="Y5" i="1"/>
  <c r="Y4" i="1"/>
  <c r="T12" i="1"/>
  <c r="T11" i="1"/>
  <c r="T10" i="1"/>
  <c r="T9" i="1"/>
  <c r="T8" i="1"/>
  <c r="T7" i="1"/>
  <c r="T6" i="1"/>
  <c r="T5" i="1"/>
  <c r="T4" i="1"/>
  <c r="O12" i="1"/>
  <c r="P12" i="1" s="1"/>
  <c r="O11" i="1"/>
  <c r="O10" i="1"/>
  <c r="O9" i="1"/>
  <c r="P9" i="1" s="1"/>
  <c r="O8" i="1"/>
  <c r="O7" i="1"/>
  <c r="O6" i="1"/>
  <c r="O5" i="1"/>
  <c r="O4" i="1"/>
  <c r="J6" i="1"/>
  <c r="J7" i="1"/>
  <c r="J8" i="1"/>
  <c r="J10" i="1"/>
  <c r="J11" i="1"/>
  <c r="J12" i="1"/>
  <c r="K12" i="1" s="1"/>
  <c r="AI6" i="1"/>
  <c r="AI8" i="1"/>
  <c r="AI9" i="1"/>
  <c r="AI10" i="1"/>
  <c r="AI11" i="1"/>
  <c r="AI12" i="1"/>
  <c r="AH7" i="1"/>
  <c r="AI7" i="1" s="1"/>
  <c r="AH5" i="1"/>
  <c r="AI5" i="1" s="1"/>
  <c r="AH4" i="1"/>
  <c r="AI4" i="1" s="1"/>
  <c r="AC5" i="1"/>
  <c r="AE5" i="1" s="1"/>
  <c r="AC6" i="1"/>
  <c r="AE6" i="1" s="1"/>
  <c r="AC7" i="1"/>
  <c r="AE7" i="1" s="1"/>
  <c r="AC8" i="1"/>
  <c r="AE8" i="1" s="1"/>
  <c r="AC9" i="1"/>
  <c r="AE9" i="1" s="1"/>
  <c r="AC10" i="1"/>
  <c r="AE10" i="1" s="1"/>
  <c r="AC11" i="1"/>
  <c r="AE11" i="1" s="1"/>
  <c r="AC12" i="1"/>
  <c r="AE12" i="1" s="1"/>
  <c r="AC4" i="1"/>
  <c r="AE4" i="1" s="1"/>
  <c r="AD5" i="1" l="1"/>
  <c r="AF5" i="1"/>
  <c r="AD4" i="1"/>
  <c r="AF4" i="1" s="1"/>
  <c r="AD6" i="1"/>
  <c r="AF6" i="1" s="1"/>
  <c r="AD10" i="1"/>
  <c r="AF10" i="1" s="1"/>
  <c r="AD12" i="1"/>
  <c r="AD7" i="1"/>
  <c r="AF7" i="1" s="1"/>
  <c r="AD9" i="1"/>
  <c r="AD8" i="1"/>
  <c r="AF8" i="1" s="1"/>
  <c r="AD11" i="1"/>
  <c r="AF11" i="1" s="1"/>
  <c r="AG8" i="1" l="1"/>
  <c r="AF12" i="1"/>
  <c r="AG12" i="1"/>
  <c r="AF9" i="1"/>
  <c r="AG9" i="1"/>
</calcChain>
</file>

<file path=xl/sharedStrings.xml><?xml version="1.0" encoding="utf-8"?>
<sst xmlns="http://schemas.openxmlformats.org/spreadsheetml/2006/main" count="80" uniqueCount="49">
  <si>
    <t>Hospital</t>
  </si>
  <si>
    <t>General</t>
  </si>
  <si>
    <t>Required Stock</t>
  </si>
  <si>
    <t>Final Allocation</t>
  </si>
  <si>
    <t>ItemCode</t>
  </si>
  <si>
    <t>Item Name</t>
  </si>
  <si>
    <t>Palanca</t>
  </si>
  <si>
    <t>In Stock</t>
  </si>
  <si>
    <t>Huambo</t>
  </si>
  <si>
    <t>Mulemba</t>
  </si>
  <si>
    <t>Vianna</t>
  </si>
  <si>
    <t>Warehouse Stock</t>
  </si>
  <si>
    <t>Global Store Stock</t>
  </si>
  <si>
    <t>Global Req Stock</t>
  </si>
  <si>
    <t>Total Stock</t>
  </si>
  <si>
    <t>Req %</t>
  </si>
  <si>
    <t>Stock Expiry in 6 Months</t>
  </si>
  <si>
    <t>Expiry Beyond 6 Months</t>
  </si>
  <si>
    <t>It0001</t>
  </si>
  <si>
    <t>It0002</t>
  </si>
  <si>
    <t>It0003</t>
  </si>
  <si>
    <t>It0004</t>
  </si>
  <si>
    <t>It0005</t>
  </si>
  <si>
    <t>It0006</t>
  </si>
  <si>
    <t>It0007</t>
  </si>
  <si>
    <t>It0008</t>
  </si>
  <si>
    <t>It0009</t>
  </si>
  <si>
    <t>Sales to Consider</t>
  </si>
  <si>
    <t>From Date</t>
  </si>
  <si>
    <t>To Date</t>
  </si>
  <si>
    <t>Manufaturer</t>
  </si>
  <si>
    <t>China</t>
  </si>
  <si>
    <t>India</t>
  </si>
  <si>
    <t>Portugal</t>
  </si>
  <si>
    <t>Europe</t>
  </si>
  <si>
    <t>Warehouse</t>
  </si>
  <si>
    <t>BIE</t>
  </si>
  <si>
    <t>MOX</t>
  </si>
  <si>
    <t>MEN</t>
  </si>
  <si>
    <t>HUA</t>
  </si>
  <si>
    <t>Stock</t>
  </si>
  <si>
    <t>Require</t>
  </si>
  <si>
    <t>Req Total</t>
  </si>
  <si>
    <t>FROM</t>
  </si>
  <si>
    <t>WHS</t>
  </si>
  <si>
    <t>Estimated Sale</t>
  </si>
  <si>
    <t>Zero Stock Days</t>
  </si>
  <si>
    <t>Previous Month day ES</t>
  </si>
  <si>
    <t>Total Sales Planning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</si>
</sst>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2" applyFont="1" applyBorder="1"/>
    <xf numFmtId="9" fontId="0" fillId="2" borderId="1" xfId="2" applyFont="1" applyFill="1" applyBorder="1"/>
    <xf numFmtId="43" fontId="0" fillId="0" borderId="0" xfId="1" applyFont="1"/>
    <xf numFmtId="0" fontId="0" fillId="2" borderId="0" xfId="0" applyFill="1"/>
    <xf numFmtId="1" fontId="0" fillId="2" borderId="1" xfId="0" applyNumberFormat="1" applyFill="1" applyBorder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2" borderId="2" xfId="0" applyFill="1" applyBorder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7" borderId="1" xfId="0" applyFill="1" applyBorder="1"/>
    <xf numFmtId="43" fontId="0" fillId="0" borderId="1" xfId="1" applyFon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5933-CE03-D641-B459-1F1458C262B5}">
  <dimension ref="A1:AI2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4" sqref="J4"/>
    </sheetView>
  </sheetViews>
  <sheetFormatPr baseColWidth="10" defaultColWidth="11" defaultRowHeight="16" x14ac:dyDescent="0.2"/>
  <cols>
    <col min="6" max="6" width="21.5" customWidth="1"/>
    <col min="7" max="7" width="14" bestFit="1" customWidth="1"/>
    <col min="8" max="8" width="13.1640625" bestFit="1" customWidth="1"/>
    <col min="9" max="9" width="20.33203125" bestFit="1" customWidth="1"/>
    <col min="10" max="10" width="13.33203125" bestFit="1" customWidth="1"/>
    <col min="11" max="11" width="14.1640625" bestFit="1" customWidth="1"/>
    <col min="15" max="15" width="13.33203125" bestFit="1" customWidth="1"/>
    <col min="16" max="16" width="13.6640625" bestFit="1" customWidth="1"/>
    <col min="20" max="20" width="15.1640625" bestFit="1" customWidth="1"/>
    <col min="21" max="21" width="13.6640625" bestFit="1" customWidth="1"/>
    <col min="25" max="25" width="13.33203125" bestFit="1" customWidth="1"/>
    <col min="26" max="26" width="13.33203125" customWidth="1"/>
    <col min="28" max="28" width="15.1640625" bestFit="1" customWidth="1"/>
    <col min="29" max="29" width="16" hidden="1" customWidth="1"/>
    <col min="30" max="30" width="14.83203125" bestFit="1" customWidth="1"/>
    <col min="34" max="34" width="20.5" bestFit="1" customWidth="1"/>
    <col min="35" max="35" width="20.1640625" bestFit="1" customWidth="1"/>
  </cols>
  <sheetData>
    <row r="1" spans="1:35" x14ac:dyDescent="0.2">
      <c r="C1" s="8" t="s">
        <v>0</v>
      </c>
      <c r="D1" s="8" t="s">
        <v>1</v>
      </c>
      <c r="E1" s="8"/>
      <c r="F1" s="8"/>
      <c r="G1" s="8"/>
      <c r="H1" s="8"/>
      <c r="I1" s="8"/>
      <c r="J1" s="8" t="s">
        <v>2</v>
      </c>
      <c r="K1" s="8" t="s">
        <v>3</v>
      </c>
      <c r="L1" s="9" t="s">
        <v>0</v>
      </c>
      <c r="M1" s="9" t="s">
        <v>1</v>
      </c>
      <c r="N1" s="9"/>
      <c r="O1" s="9" t="s">
        <v>2</v>
      </c>
      <c r="P1" s="9" t="s">
        <v>3</v>
      </c>
      <c r="Q1" s="12" t="s">
        <v>0</v>
      </c>
      <c r="R1" s="12" t="s">
        <v>1</v>
      </c>
      <c r="S1" s="12"/>
      <c r="T1" s="12" t="s">
        <v>2</v>
      </c>
      <c r="U1" s="12" t="s">
        <v>3</v>
      </c>
      <c r="V1" s="13" t="s">
        <v>0</v>
      </c>
      <c r="W1" s="13" t="s">
        <v>1</v>
      </c>
      <c r="X1" s="13"/>
      <c r="Y1" s="13" t="s">
        <v>2</v>
      </c>
      <c r="Z1" s="14" t="s">
        <v>3</v>
      </c>
    </row>
    <row r="2" spans="1:35" x14ac:dyDescent="0.2">
      <c r="A2" t="s">
        <v>4</v>
      </c>
      <c r="B2" t="s">
        <v>5</v>
      </c>
      <c r="C2" s="17" t="s">
        <v>6</v>
      </c>
      <c r="D2" s="17"/>
      <c r="E2" s="1" t="s">
        <v>7</v>
      </c>
      <c r="F2" s="1" t="s">
        <v>47</v>
      </c>
      <c r="G2" s="1" t="s">
        <v>46</v>
      </c>
      <c r="H2" s="1" t="s">
        <v>45</v>
      </c>
      <c r="I2" s="1" t="s">
        <v>48</v>
      </c>
      <c r="J2" s="1"/>
      <c r="K2" s="1"/>
      <c r="L2" s="17" t="s">
        <v>8</v>
      </c>
      <c r="M2" s="17"/>
      <c r="N2" s="1" t="s">
        <v>7</v>
      </c>
      <c r="O2" s="1"/>
      <c r="P2" s="1"/>
      <c r="Q2" s="17" t="s">
        <v>9</v>
      </c>
      <c r="R2" s="17"/>
      <c r="S2" s="1" t="s">
        <v>7</v>
      </c>
      <c r="T2" s="1"/>
      <c r="U2" s="1"/>
      <c r="V2" s="17" t="s">
        <v>10</v>
      </c>
      <c r="W2" s="17"/>
      <c r="X2" s="1" t="s">
        <v>7</v>
      </c>
      <c r="Y2" s="10"/>
      <c r="Z2" s="1"/>
      <c r="AB2" s="1" t="s">
        <v>11</v>
      </c>
      <c r="AC2" s="1" t="s">
        <v>12</v>
      </c>
      <c r="AD2" s="1" t="s">
        <v>13</v>
      </c>
      <c r="AE2" s="1" t="s">
        <v>14</v>
      </c>
      <c r="AF2" s="1" t="s">
        <v>15</v>
      </c>
      <c r="AH2" s="1" t="s">
        <v>16</v>
      </c>
      <c r="AI2" s="1" t="s">
        <v>17</v>
      </c>
    </row>
    <row r="3" spans="1:35" x14ac:dyDescent="0.2">
      <c r="Z3" s="1"/>
    </row>
    <row r="4" spans="1:35" x14ac:dyDescent="0.2">
      <c r="A4" t="s">
        <v>18</v>
      </c>
      <c r="B4" t="s">
        <v>18</v>
      </c>
      <c r="C4" s="1">
        <v>137</v>
      </c>
      <c r="D4" s="1">
        <v>145</v>
      </c>
      <c r="E4" s="1">
        <v>287</v>
      </c>
      <c r="F4" s="1">
        <v>7</v>
      </c>
      <c r="G4" s="1">
        <v>5</v>
      </c>
      <c r="H4" s="1">
        <f>F4*G4</f>
        <v>35</v>
      </c>
      <c r="I4" s="1">
        <f>D4+C4+H4</f>
        <v>317</v>
      </c>
      <c r="J4" s="1">
        <f>I4-E4</f>
        <v>30</v>
      </c>
      <c r="K4" s="1"/>
      <c r="L4" s="1">
        <v>129</v>
      </c>
      <c r="M4" s="1">
        <v>158</v>
      </c>
      <c r="N4" s="1">
        <v>252</v>
      </c>
      <c r="O4" s="1">
        <f>L4+M4-N4</f>
        <v>35</v>
      </c>
      <c r="P4" s="1">
        <v>35</v>
      </c>
      <c r="Q4" s="1">
        <v>100</v>
      </c>
      <c r="R4" s="1">
        <v>174</v>
      </c>
      <c r="S4" s="1">
        <v>67</v>
      </c>
      <c r="T4" s="1">
        <f>Q4+R4-S4</f>
        <v>207</v>
      </c>
      <c r="U4" s="1"/>
      <c r="V4" s="1">
        <v>161</v>
      </c>
      <c r="W4" s="1">
        <v>137</v>
      </c>
      <c r="X4" s="1">
        <v>70</v>
      </c>
      <c r="Y4" s="10">
        <f>V4+W4-X4</f>
        <v>228</v>
      </c>
      <c r="Z4" s="1"/>
      <c r="AB4" s="1">
        <v>816</v>
      </c>
      <c r="AC4" s="1">
        <f>E4+N4+S4+X4</f>
        <v>676</v>
      </c>
      <c r="AD4" s="1">
        <f>J4+O4+T4+Y4</f>
        <v>500</v>
      </c>
      <c r="AE4" s="1">
        <f>AB4+AC4</f>
        <v>1492</v>
      </c>
      <c r="AF4" s="3">
        <f>AD4/AE4</f>
        <v>0.33512064343163539</v>
      </c>
      <c r="AH4" s="1">
        <f>AB4/4</f>
        <v>204</v>
      </c>
      <c r="AI4" s="1">
        <f>AB4-AH4</f>
        <v>612</v>
      </c>
    </row>
    <row r="5" spans="1:35" x14ac:dyDescent="0.2">
      <c r="A5" t="s">
        <v>19</v>
      </c>
      <c r="B5" t="s">
        <v>19</v>
      </c>
      <c r="C5" s="1">
        <v>127</v>
      </c>
      <c r="D5" s="1">
        <v>124</v>
      </c>
      <c r="E5" s="1">
        <v>193</v>
      </c>
      <c r="F5" s="1"/>
      <c r="G5" s="1"/>
      <c r="H5" s="1"/>
      <c r="I5" s="1"/>
      <c r="J5" s="1">
        <f>C5+D5-E5</f>
        <v>58</v>
      </c>
      <c r="K5" s="1">
        <v>58</v>
      </c>
      <c r="L5" s="1">
        <v>115</v>
      </c>
      <c r="M5" s="1">
        <v>113</v>
      </c>
      <c r="N5" s="1">
        <v>98</v>
      </c>
      <c r="O5" s="1">
        <f t="shared" ref="O5:O12" si="0">L5+M5-N5</f>
        <v>130</v>
      </c>
      <c r="P5" s="1">
        <v>130</v>
      </c>
      <c r="Q5" s="1">
        <v>128</v>
      </c>
      <c r="R5" s="1">
        <v>166</v>
      </c>
      <c r="S5" s="1">
        <v>59</v>
      </c>
      <c r="T5" s="1">
        <f t="shared" ref="T5:T12" si="1">Q5+R5-S5</f>
        <v>235</v>
      </c>
      <c r="U5" s="1"/>
      <c r="V5" s="1">
        <v>139</v>
      </c>
      <c r="W5" s="1">
        <v>180</v>
      </c>
      <c r="X5" s="1">
        <v>42</v>
      </c>
      <c r="Y5" s="10">
        <f t="shared" ref="Y5:Y12" si="2">V5+W5-X5</f>
        <v>277</v>
      </c>
      <c r="Z5" s="1"/>
      <c r="AB5" s="1">
        <v>686</v>
      </c>
      <c r="AC5" s="1">
        <f t="shared" ref="AC5:AC12" si="3">E5+N5+S5+X5</f>
        <v>392</v>
      </c>
      <c r="AD5" s="1">
        <f t="shared" ref="AD5:AD12" si="4">J5+O5+T5+Y5</f>
        <v>700</v>
      </c>
      <c r="AE5" s="1">
        <f t="shared" ref="AE5:AE12" si="5">AB5+AC5</f>
        <v>1078</v>
      </c>
      <c r="AF5" s="3">
        <f t="shared" ref="AF5:AF12" si="6">AD5/AE5</f>
        <v>0.64935064935064934</v>
      </c>
      <c r="AH5" s="1">
        <f>AB5/2</f>
        <v>343</v>
      </c>
      <c r="AI5" s="1">
        <f t="shared" ref="AI5:AI12" si="7">AB5-AH5</f>
        <v>343</v>
      </c>
    </row>
    <row r="6" spans="1:35" x14ac:dyDescent="0.2">
      <c r="A6" t="s">
        <v>20</v>
      </c>
      <c r="B6" t="s">
        <v>20</v>
      </c>
      <c r="C6" s="1">
        <v>162</v>
      </c>
      <c r="D6" s="1">
        <v>103</v>
      </c>
      <c r="E6" s="1">
        <v>208</v>
      </c>
      <c r="F6" s="1"/>
      <c r="G6" s="1"/>
      <c r="H6" s="1"/>
      <c r="I6" s="1"/>
      <c r="J6" s="1">
        <f>C6+D6-E6</f>
        <v>57</v>
      </c>
      <c r="K6" s="1">
        <v>57</v>
      </c>
      <c r="L6" s="1">
        <v>106</v>
      </c>
      <c r="M6" s="1">
        <v>151</v>
      </c>
      <c r="N6" s="1">
        <v>73</v>
      </c>
      <c r="O6" s="1">
        <f t="shared" si="0"/>
        <v>184</v>
      </c>
      <c r="P6" s="1">
        <v>184</v>
      </c>
      <c r="Q6" s="1">
        <v>110</v>
      </c>
      <c r="R6" s="1">
        <v>109</v>
      </c>
      <c r="S6" s="1">
        <v>9</v>
      </c>
      <c r="T6" s="1">
        <f t="shared" si="1"/>
        <v>210</v>
      </c>
      <c r="U6" s="1"/>
      <c r="V6" s="1">
        <v>105</v>
      </c>
      <c r="W6" s="1">
        <v>140</v>
      </c>
      <c r="X6" s="1">
        <v>260</v>
      </c>
      <c r="Y6" s="10">
        <f t="shared" si="2"/>
        <v>-15</v>
      </c>
      <c r="Z6" s="1"/>
      <c r="AB6" s="1">
        <v>992</v>
      </c>
      <c r="AC6" s="1">
        <f t="shared" si="3"/>
        <v>550</v>
      </c>
      <c r="AD6" s="1">
        <f t="shared" si="4"/>
        <v>436</v>
      </c>
      <c r="AE6" s="1">
        <f t="shared" si="5"/>
        <v>1542</v>
      </c>
      <c r="AF6" s="3">
        <f t="shared" si="6"/>
        <v>0.28274967574578469</v>
      </c>
      <c r="AH6" s="1">
        <v>330</v>
      </c>
      <c r="AI6" s="1">
        <f t="shared" si="7"/>
        <v>662</v>
      </c>
    </row>
    <row r="7" spans="1:35" x14ac:dyDescent="0.2">
      <c r="A7" t="s">
        <v>21</v>
      </c>
      <c r="B7" t="s">
        <v>21</v>
      </c>
      <c r="C7" s="1">
        <v>110</v>
      </c>
      <c r="D7" s="1">
        <v>147</v>
      </c>
      <c r="E7" s="1">
        <v>109</v>
      </c>
      <c r="F7" s="1"/>
      <c r="G7" s="1"/>
      <c r="H7" s="1"/>
      <c r="I7" s="1"/>
      <c r="J7" s="1">
        <f>C7+D7-E7</f>
        <v>148</v>
      </c>
      <c r="K7" s="1">
        <v>148</v>
      </c>
      <c r="L7" s="1">
        <v>136</v>
      </c>
      <c r="M7" s="1">
        <v>163</v>
      </c>
      <c r="N7" s="1">
        <v>211</v>
      </c>
      <c r="O7" s="1">
        <f t="shared" si="0"/>
        <v>88</v>
      </c>
      <c r="P7" s="1">
        <v>88</v>
      </c>
      <c r="Q7" s="1">
        <v>103</v>
      </c>
      <c r="R7" s="1">
        <v>133</v>
      </c>
      <c r="S7" s="1">
        <v>45</v>
      </c>
      <c r="T7" s="1">
        <f t="shared" si="1"/>
        <v>191</v>
      </c>
      <c r="U7" s="1"/>
      <c r="V7" s="1">
        <v>177</v>
      </c>
      <c r="W7" s="1">
        <v>118</v>
      </c>
      <c r="X7" s="1">
        <v>1</v>
      </c>
      <c r="Y7" s="10">
        <f t="shared" si="2"/>
        <v>294</v>
      </c>
      <c r="Z7" s="1"/>
      <c r="AB7" s="1">
        <v>989</v>
      </c>
      <c r="AC7" s="1">
        <f t="shared" si="3"/>
        <v>366</v>
      </c>
      <c r="AD7" s="1">
        <f t="shared" si="4"/>
        <v>721</v>
      </c>
      <c r="AE7" s="1">
        <f t="shared" si="5"/>
        <v>1355</v>
      </c>
      <c r="AF7" s="3">
        <f t="shared" si="6"/>
        <v>0.53210332103321034</v>
      </c>
      <c r="AH7" s="1">
        <f>320</f>
        <v>320</v>
      </c>
      <c r="AI7" s="1">
        <f t="shared" si="7"/>
        <v>669</v>
      </c>
    </row>
    <row r="8" spans="1:35" x14ac:dyDescent="0.2">
      <c r="A8" t="s">
        <v>22</v>
      </c>
      <c r="B8" t="s">
        <v>22</v>
      </c>
      <c r="C8" s="1">
        <v>100</v>
      </c>
      <c r="D8" s="1">
        <v>158</v>
      </c>
      <c r="E8" s="1">
        <v>264</v>
      </c>
      <c r="F8" s="1"/>
      <c r="G8" s="1"/>
      <c r="H8" s="1"/>
      <c r="I8" s="1"/>
      <c r="J8" s="1">
        <f>C8+D8-E8</f>
        <v>-6</v>
      </c>
      <c r="K8" s="1"/>
      <c r="L8" s="1">
        <v>102</v>
      </c>
      <c r="M8" s="1">
        <v>128</v>
      </c>
      <c r="N8" s="1">
        <v>235</v>
      </c>
      <c r="O8" s="1">
        <f t="shared" si="0"/>
        <v>-5</v>
      </c>
      <c r="P8" s="1"/>
      <c r="Q8" s="1">
        <v>113</v>
      </c>
      <c r="R8" s="1">
        <v>177</v>
      </c>
      <c r="S8" s="1">
        <v>16</v>
      </c>
      <c r="T8" s="1">
        <f t="shared" si="1"/>
        <v>274</v>
      </c>
      <c r="U8" s="1"/>
      <c r="V8" s="1">
        <v>174</v>
      </c>
      <c r="W8" s="1">
        <v>133</v>
      </c>
      <c r="X8" s="1">
        <v>62</v>
      </c>
      <c r="Y8" s="10">
        <f t="shared" si="2"/>
        <v>245</v>
      </c>
      <c r="Z8" s="1"/>
      <c r="AB8" s="1">
        <v>293</v>
      </c>
      <c r="AC8" s="1">
        <f t="shared" si="3"/>
        <v>577</v>
      </c>
      <c r="AD8" s="1">
        <f t="shared" si="4"/>
        <v>508</v>
      </c>
      <c r="AE8" s="1">
        <f t="shared" si="5"/>
        <v>870</v>
      </c>
      <c r="AF8" s="3">
        <f t="shared" si="6"/>
        <v>0.58390804597701151</v>
      </c>
      <c r="AG8" s="5">
        <f>AE8/AD8</f>
        <v>1.7125984251968505</v>
      </c>
      <c r="AH8" s="1">
        <v>190</v>
      </c>
      <c r="AI8" s="1">
        <f t="shared" si="7"/>
        <v>103</v>
      </c>
    </row>
    <row r="9" spans="1:35" x14ac:dyDescent="0.2">
      <c r="A9" s="6" t="s">
        <v>23</v>
      </c>
      <c r="B9" s="6" t="s">
        <v>23</v>
      </c>
      <c r="C9" s="2">
        <v>138</v>
      </c>
      <c r="D9" s="2">
        <v>146</v>
      </c>
      <c r="E9" s="2">
        <v>81</v>
      </c>
      <c r="F9" s="2"/>
      <c r="G9" s="2"/>
      <c r="H9" s="2"/>
      <c r="I9" s="2"/>
      <c r="J9" s="2">
        <f>C9+D9-E9</f>
        <v>203</v>
      </c>
      <c r="K9" s="7">
        <f>J9*0.98</f>
        <v>198.94</v>
      </c>
      <c r="L9" s="2">
        <v>136</v>
      </c>
      <c r="M9" s="2">
        <v>116</v>
      </c>
      <c r="N9" s="2">
        <v>61</v>
      </c>
      <c r="O9" s="2">
        <f t="shared" si="0"/>
        <v>191</v>
      </c>
      <c r="P9" s="7">
        <f>O9*0.98</f>
        <v>187.18</v>
      </c>
      <c r="Q9" s="2">
        <v>107</v>
      </c>
      <c r="R9" s="2">
        <v>122</v>
      </c>
      <c r="S9" s="2">
        <v>215</v>
      </c>
      <c r="T9" s="2">
        <f t="shared" si="1"/>
        <v>14</v>
      </c>
      <c r="U9" s="2"/>
      <c r="V9" s="2">
        <v>160</v>
      </c>
      <c r="W9" s="2">
        <v>136</v>
      </c>
      <c r="X9" s="2">
        <v>49</v>
      </c>
      <c r="Y9" s="11">
        <f t="shared" si="2"/>
        <v>247</v>
      </c>
      <c r="Z9" s="2"/>
      <c r="AA9" s="6"/>
      <c r="AB9" s="2">
        <v>233</v>
      </c>
      <c r="AC9" s="2">
        <f t="shared" si="3"/>
        <v>406</v>
      </c>
      <c r="AD9" s="2">
        <f t="shared" si="4"/>
        <v>655</v>
      </c>
      <c r="AE9" s="2">
        <f t="shared" si="5"/>
        <v>639</v>
      </c>
      <c r="AF9" s="4">
        <f t="shared" si="6"/>
        <v>1.0250391236306728</v>
      </c>
      <c r="AG9" s="5">
        <f>AE9/AD9</f>
        <v>0.97557251908396947</v>
      </c>
      <c r="AH9" s="1">
        <v>210</v>
      </c>
      <c r="AI9" s="1">
        <f t="shared" si="7"/>
        <v>23</v>
      </c>
    </row>
    <row r="10" spans="1:35" x14ac:dyDescent="0.2">
      <c r="A10" t="s">
        <v>24</v>
      </c>
      <c r="B10" t="s">
        <v>24</v>
      </c>
      <c r="C10" s="1">
        <v>130</v>
      </c>
      <c r="D10" s="1">
        <v>110</v>
      </c>
      <c r="E10" s="1">
        <v>166</v>
      </c>
      <c r="F10" s="1"/>
      <c r="G10" s="1"/>
      <c r="H10" s="1"/>
      <c r="I10" s="1"/>
      <c r="J10" s="1">
        <f>C10+D10-E10</f>
        <v>74</v>
      </c>
      <c r="K10" s="1">
        <v>74</v>
      </c>
      <c r="L10" s="1">
        <v>118</v>
      </c>
      <c r="M10" s="1">
        <v>173</v>
      </c>
      <c r="N10" s="1">
        <v>142</v>
      </c>
      <c r="O10" s="1">
        <f t="shared" si="0"/>
        <v>149</v>
      </c>
      <c r="P10" s="1">
        <v>149</v>
      </c>
      <c r="Q10" s="1">
        <v>138</v>
      </c>
      <c r="R10" s="1">
        <v>139</v>
      </c>
      <c r="S10" s="1">
        <v>234</v>
      </c>
      <c r="T10" s="1">
        <f t="shared" si="1"/>
        <v>43</v>
      </c>
      <c r="U10" s="1"/>
      <c r="V10" s="1">
        <v>100</v>
      </c>
      <c r="W10" s="1">
        <v>166</v>
      </c>
      <c r="X10" s="1">
        <v>60</v>
      </c>
      <c r="Y10" s="10">
        <f t="shared" si="2"/>
        <v>206</v>
      </c>
      <c r="Z10" s="1"/>
      <c r="AB10" s="1">
        <v>296</v>
      </c>
      <c r="AC10" s="1">
        <f t="shared" si="3"/>
        <v>602</v>
      </c>
      <c r="AD10" s="1">
        <f t="shared" si="4"/>
        <v>472</v>
      </c>
      <c r="AE10" s="1">
        <f t="shared" si="5"/>
        <v>898</v>
      </c>
      <c r="AF10" s="3">
        <f t="shared" si="6"/>
        <v>0.52561247216035634</v>
      </c>
      <c r="AH10" s="1">
        <v>209</v>
      </c>
      <c r="AI10" s="1">
        <f t="shared" si="7"/>
        <v>87</v>
      </c>
    </row>
    <row r="11" spans="1:35" x14ac:dyDescent="0.2">
      <c r="A11" t="s">
        <v>25</v>
      </c>
      <c r="B11" t="s">
        <v>25</v>
      </c>
      <c r="C11" s="1">
        <v>179</v>
      </c>
      <c r="D11" s="1">
        <v>142</v>
      </c>
      <c r="E11" s="1">
        <v>213</v>
      </c>
      <c r="F11" s="1"/>
      <c r="G11" s="1"/>
      <c r="H11" s="1"/>
      <c r="I11" s="1"/>
      <c r="J11" s="1">
        <f>C11+D11-E11</f>
        <v>108</v>
      </c>
      <c r="K11" s="1">
        <v>108</v>
      </c>
      <c r="L11" s="1">
        <v>151</v>
      </c>
      <c r="M11" s="1">
        <v>106</v>
      </c>
      <c r="N11" s="1">
        <v>289</v>
      </c>
      <c r="O11" s="1">
        <f t="shared" si="0"/>
        <v>-32</v>
      </c>
      <c r="P11" s="1"/>
      <c r="Q11" s="1">
        <v>124</v>
      </c>
      <c r="R11" s="1">
        <v>120</v>
      </c>
      <c r="S11" s="1">
        <v>7</v>
      </c>
      <c r="T11" s="1">
        <f t="shared" si="1"/>
        <v>237</v>
      </c>
      <c r="U11" s="1"/>
      <c r="V11" s="1">
        <v>180</v>
      </c>
      <c r="W11" s="1">
        <v>123</v>
      </c>
      <c r="X11" s="1">
        <v>116</v>
      </c>
      <c r="Y11" s="10">
        <f t="shared" si="2"/>
        <v>187</v>
      </c>
      <c r="Z11" s="1"/>
      <c r="AB11" s="1">
        <v>858</v>
      </c>
      <c r="AC11" s="1">
        <f t="shared" si="3"/>
        <v>625</v>
      </c>
      <c r="AD11" s="1">
        <f t="shared" si="4"/>
        <v>500</v>
      </c>
      <c r="AE11" s="1">
        <f t="shared" si="5"/>
        <v>1483</v>
      </c>
      <c r="AF11" s="3">
        <f t="shared" si="6"/>
        <v>0.33715441672285906</v>
      </c>
      <c r="AH11" s="1">
        <v>310</v>
      </c>
      <c r="AI11" s="1">
        <f t="shared" si="7"/>
        <v>548</v>
      </c>
    </row>
    <row r="12" spans="1:35" x14ac:dyDescent="0.2">
      <c r="A12" s="6" t="s">
        <v>26</v>
      </c>
      <c r="B12" s="6" t="s">
        <v>26</v>
      </c>
      <c r="C12" s="2">
        <v>122</v>
      </c>
      <c r="D12" s="2">
        <v>161</v>
      </c>
      <c r="E12" s="2">
        <v>17</v>
      </c>
      <c r="F12" s="2"/>
      <c r="G12" s="2"/>
      <c r="H12" s="2"/>
      <c r="I12" s="2"/>
      <c r="J12" s="2">
        <f>C12+D12-E12</f>
        <v>266</v>
      </c>
      <c r="K12" s="7">
        <f>J12*0.34</f>
        <v>90.440000000000012</v>
      </c>
      <c r="L12" s="2">
        <v>142</v>
      </c>
      <c r="M12" s="2">
        <v>140</v>
      </c>
      <c r="N12" s="2">
        <v>5</v>
      </c>
      <c r="O12" s="2">
        <f t="shared" si="0"/>
        <v>277</v>
      </c>
      <c r="P12" s="7">
        <f>O12*0.34</f>
        <v>94.18</v>
      </c>
      <c r="Q12" s="2">
        <v>150</v>
      </c>
      <c r="R12" s="2">
        <v>148</v>
      </c>
      <c r="S12" s="2">
        <v>31</v>
      </c>
      <c r="T12" s="2">
        <f t="shared" si="1"/>
        <v>267</v>
      </c>
      <c r="U12" s="2"/>
      <c r="V12" s="2">
        <v>120</v>
      </c>
      <c r="W12" s="2">
        <v>130</v>
      </c>
      <c r="X12" s="2">
        <v>146</v>
      </c>
      <c r="Y12" s="11">
        <f t="shared" si="2"/>
        <v>104</v>
      </c>
      <c r="Z12" s="2"/>
      <c r="AA12" s="6"/>
      <c r="AB12" s="2">
        <v>109</v>
      </c>
      <c r="AC12" s="2">
        <f t="shared" si="3"/>
        <v>199</v>
      </c>
      <c r="AD12" s="2">
        <f t="shared" si="4"/>
        <v>914</v>
      </c>
      <c r="AE12" s="2">
        <f t="shared" si="5"/>
        <v>308</v>
      </c>
      <c r="AF12" s="4">
        <f t="shared" si="6"/>
        <v>2.9675324675324677</v>
      </c>
      <c r="AG12" s="5">
        <f>AE12/AD12</f>
        <v>0.33698030634573306</v>
      </c>
      <c r="AH12" s="1">
        <v>90</v>
      </c>
      <c r="AI12" s="1">
        <f t="shared" si="7"/>
        <v>19</v>
      </c>
    </row>
    <row r="16" spans="1:35" x14ac:dyDescent="0.2">
      <c r="L16" t="s">
        <v>27</v>
      </c>
      <c r="N16" t="s">
        <v>28</v>
      </c>
      <c r="O16" t="s">
        <v>29</v>
      </c>
    </row>
    <row r="19" spans="4:21" x14ac:dyDescent="0.2">
      <c r="D19" t="s">
        <v>30</v>
      </c>
      <c r="E19" t="s">
        <v>31</v>
      </c>
      <c r="J19" t="s">
        <v>32</v>
      </c>
      <c r="K19" t="s">
        <v>33</v>
      </c>
      <c r="L19" t="s">
        <v>34</v>
      </c>
    </row>
    <row r="20" spans="4:21" x14ac:dyDescent="0.2">
      <c r="D20" t="s">
        <v>35</v>
      </c>
    </row>
    <row r="22" spans="4:21" x14ac:dyDescent="0.2">
      <c r="E22" s="17" t="s">
        <v>36</v>
      </c>
      <c r="F22" s="17"/>
      <c r="G22" s="17"/>
      <c r="H22" s="17"/>
      <c r="I22" s="17"/>
      <c r="J22" s="17"/>
      <c r="K22" s="17" t="s">
        <v>37</v>
      </c>
      <c r="L22" s="17"/>
      <c r="M22" s="17" t="s">
        <v>38</v>
      </c>
      <c r="N22" s="17"/>
      <c r="O22" s="17" t="s">
        <v>39</v>
      </c>
      <c r="P22" s="17"/>
      <c r="Q22" s="1"/>
      <c r="R22" s="1"/>
      <c r="S22" s="1"/>
      <c r="T22" s="1"/>
      <c r="U22" s="1"/>
    </row>
    <row r="23" spans="4:21" x14ac:dyDescent="0.2">
      <c r="E23" s="1" t="s">
        <v>40</v>
      </c>
      <c r="F23" s="1"/>
      <c r="G23" s="1"/>
      <c r="H23" s="1"/>
      <c r="I23" s="1"/>
      <c r="J23" s="1" t="s">
        <v>41</v>
      </c>
      <c r="K23" s="1" t="s">
        <v>40</v>
      </c>
      <c r="L23" s="1" t="s">
        <v>41</v>
      </c>
      <c r="M23" s="1" t="s">
        <v>40</v>
      </c>
      <c r="N23" s="1" t="s">
        <v>41</v>
      </c>
      <c r="O23" s="1" t="s">
        <v>40</v>
      </c>
      <c r="P23" s="1" t="s">
        <v>41</v>
      </c>
      <c r="Q23" s="1"/>
      <c r="R23" s="1" t="s">
        <v>42</v>
      </c>
      <c r="S23" s="1"/>
      <c r="T23" s="1" t="s">
        <v>11</v>
      </c>
      <c r="U23" s="1"/>
    </row>
    <row r="24" spans="4:21" x14ac:dyDescent="0.2">
      <c r="E24" s="1">
        <v>50</v>
      </c>
      <c r="F24" s="1"/>
      <c r="G24" s="1"/>
      <c r="H24" s="1"/>
      <c r="I24" s="1"/>
      <c r="J24" s="15">
        <v>100</v>
      </c>
      <c r="K24" s="1">
        <v>30</v>
      </c>
      <c r="L24" s="15">
        <v>150</v>
      </c>
      <c r="M24" s="1">
        <v>80</v>
      </c>
      <c r="N24" s="15">
        <v>100</v>
      </c>
      <c r="O24" s="1">
        <v>300</v>
      </c>
      <c r="P24" s="15">
        <v>250</v>
      </c>
      <c r="Q24" s="1"/>
      <c r="R24" s="1">
        <f>J24+L24+N24+P24</f>
        <v>600</v>
      </c>
      <c r="S24" s="1"/>
      <c r="T24" s="1">
        <v>500</v>
      </c>
      <c r="U24" s="16">
        <f>T24/R24</f>
        <v>0.83333333333333337</v>
      </c>
    </row>
    <row r="28" spans="4:21" x14ac:dyDescent="0.2">
      <c r="M28" t="s">
        <v>43</v>
      </c>
      <c r="N28" t="s">
        <v>44</v>
      </c>
    </row>
  </sheetData>
  <mergeCells count="8">
    <mergeCell ref="C2:D2"/>
    <mergeCell ref="L2:M2"/>
    <mergeCell ref="Q2:R2"/>
    <mergeCell ref="V2:W2"/>
    <mergeCell ref="E22:J22"/>
    <mergeCell ref="M22:N22"/>
    <mergeCell ref="K22:L22"/>
    <mergeCell ref="O22:P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Venkata Siva Reddy Polu</dc:creator>
  <cp:keywords/>
  <dc:description/>
  <cp:lastModifiedBy>Venkata Siva Reddy Polu</cp:lastModifiedBy>
  <cp:revision/>
  <dcterms:created xsi:type="dcterms:W3CDTF">2025-02-10T05:14:33Z</dcterms:created>
  <dcterms:modified xsi:type="dcterms:W3CDTF">2025-09-08T06:18:52Z</dcterms:modified>
  <cp:category/>
  <cp:contentStatus/>
</cp:coreProperties>
</file>